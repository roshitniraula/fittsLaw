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k5704sw\Downloads\fittsLaw_dataAnalysis\"/>
    </mc:Choice>
  </mc:AlternateContent>
  <xr:revisionPtr revIDLastSave="0" documentId="13_ncr:1_{E758D64D-704E-42F8-8628-CF839D5626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G5" i="1"/>
  <c r="H4" i="1"/>
  <c r="I4" i="1"/>
  <c r="G4" i="1"/>
</calcChain>
</file>

<file path=xl/sharedStrings.xml><?xml version="1.0" encoding="utf-8"?>
<sst xmlns="http://schemas.openxmlformats.org/spreadsheetml/2006/main" count="9" uniqueCount="7">
  <si>
    <t>ID</t>
  </si>
  <si>
    <t>MT</t>
  </si>
  <si>
    <t>Error</t>
  </si>
  <si>
    <t>IP</t>
  </si>
  <si>
    <t>Mean</t>
  </si>
  <si>
    <t>SD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</si>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</sst>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MT vs ID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127321606463057E-2"/>
                  <c:y val="0.2208388013998250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chemeClr val="tx1"/>
                        </a:solidFill>
                      </a:rPr>
                      <a:t>y = 229.45x + 318.06</a:t>
                    </a:r>
                    <a:br>
                      <a:rPr lang="en-US" sz="1200" b="1" baseline="0">
                        <a:solidFill>
                          <a:schemeClr val="tx1"/>
                        </a:solidFill>
                      </a:rPr>
                    </a:br>
                    <a:r>
                      <a:rPr lang="en-US" sz="1200" b="1" baseline="0">
                        <a:solidFill>
                          <a:schemeClr val="tx1"/>
                        </a:solidFill>
                      </a:rPr>
                      <a:t>R² = 0.9342</a:t>
                    </a:r>
                    <a:endParaRPr lang="en-US" sz="12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Sheet1!$A$2:$A$17</c:f>
              <c:numCache>
                <c:formatCode>General</c:formatCode>
                <c:ptCount val="16"/>
                <c:pt idx="0">
                  <c:v>2.34</c:v>
                </c:pt>
                <c:pt idx="1">
                  <c:v>2.68</c:v>
                </c:pt>
                <c:pt idx="2">
                  <c:v>3.1</c:v>
                </c:pt>
                <c:pt idx="3">
                  <c:v>3.19</c:v>
                </c:pt>
                <c:pt idx="4">
                  <c:v>3.48</c:v>
                </c:pt>
                <c:pt idx="5">
                  <c:v>3.55</c:v>
                </c:pt>
                <c:pt idx="6">
                  <c:v>3.93</c:v>
                </c:pt>
                <c:pt idx="7">
                  <c:v>3.96</c:v>
                </c:pt>
                <c:pt idx="8">
                  <c:v>4.0199999999999996</c:v>
                </c:pt>
                <c:pt idx="9">
                  <c:v>4.0999999999999996</c:v>
                </c:pt>
                <c:pt idx="10">
                  <c:v>4.3499999999999996</c:v>
                </c:pt>
                <c:pt idx="11">
                  <c:v>4.49</c:v>
                </c:pt>
                <c:pt idx="12">
                  <c:v>4.91</c:v>
                </c:pt>
                <c:pt idx="13">
                  <c:v>4.97</c:v>
                </c:pt>
                <c:pt idx="14">
                  <c:v>5.45</c:v>
                </c:pt>
                <c:pt idx="15">
                  <c:v>5.88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912.31</c:v>
                </c:pt>
                <c:pt idx="1">
                  <c:v>963.27700000000004</c:v>
                </c:pt>
                <c:pt idx="2">
                  <c:v>982.74599999999998</c:v>
                </c:pt>
                <c:pt idx="3">
                  <c:v>1086.777</c:v>
                </c:pt>
                <c:pt idx="4">
                  <c:v>1090.403</c:v>
                </c:pt>
                <c:pt idx="5">
                  <c:v>1163.364</c:v>
                </c:pt>
                <c:pt idx="6">
                  <c:v>1140.212</c:v>
                </c:pt>
                <c:pt idx="7">
                  <c:v>1224.623</c:v>
                </c:pt>
                <c:pt idx="8">
                  <c:v>1247.7809999999999</c:v>
                </c:pt>
                <c:pt idx="9">
                  <c:v>1347.1030000000001</c:v>
                </c:pt>
                <c:pt idx="10">
                  <c:v>1230.5419999999999</c:v>
                </c:pt>
                <c:pt idx="11">
                  <c:v>1274.597</c:v>
                </c:pt>
                <c:pt idx="12">
                  <c:v>1373.635</c:v>
                </c:pt>
                <c:pt idx="13">
                  <c:v>1451.954</c:v>
                </c:pt>
                <c:pt idx="14">
                  <c:v>1612.1859999999999</c:v>
                </c:pt>
                <c:pt idx="15">
                  <c:v>1764.2449999999999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A-43BB-AC33-557823B1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445856"/>
        <c:axId val="1910446336"/>
      </c:scatterChart>
      <c:valAx>
        <c:axId val="1910445856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 - Index</a:t>
                </a:r>
                <a:r>
                  <a:rPr lang="en-US" baseline="0"/>
                  <a:t> of Difficulty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6336"/>
        <c:crosses val="autoZero"/>
        <c:crossBetween val="midCat"/>
      </c:valAx>
      <c:valAx>
        <c:axId val="1910446336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- Movement</a:t>
                </a:r>
                <a:r>
                  <a:rPr lang="en-US" baseline="0"/>
                  <a:t>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44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4762</xdr:rowOff>
    </xdr:from>
    <xdr:to>
      <xdr:col>14</xdr:col>
      <xdr:colOff>9525</xdr:colOff>
      <xdr:row>25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F5004-B45A-67F6-A213-4D8C233CE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N19" sqref="N1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2">
        <v>2.34</v>
      </c>
      <c r="B2" s="2">
        <v>912.31</v>
      </c>
      <c r="C2" s="2">
        <v>2.3E-2</v>
      </c>
      <c r="D2" s="2">
        <v>2.5649999999999999</v>
      </c>
    </row>
    <row r="3" spans="1:9" x14ac:dyDescent="0.25">
      <c r="A3" s="2">
        <v>2.68</v>
      </c>
      <c r="B3" s="2">
        <v>963.27700000000004</v>
      </c>
      <c r="C3" s="2">
        <v>6.0999999999999999E-2</v>
      </c>
      <c r="D3" s="2">
        <v>2.782</v>
      </c>
      <c r="F3" s="2"/>
      <c r="G3" s="2" t="s">
        <v>1</v>
      </c>
      <c r="H3" s="2" t="s">
        <v>6</v>
      </c>
      <c r="I3" s="2" t="s">
        <v>3</v>
      </c>
    </row>
    <row r="4" spans="1:9" x14ac:dyDescent="0.25">
      <c r="A4" s="2">
        <v>3.1</v>
      </c>
      <c r="B4" s="2">
        <v>982.74599999999998</v>
      </c>
      <c r="C4" s="2">
        <v>5.0999999999999997E-2</v>
      </c>
      <c r="D4" s="2">
        <v>3.1539999999999999</v>
      </c>
      <c r="F4" s="2" t="s">
        <v>4</v>
      </c>
      <c r="G4" s="2">
        <f>ROUND(AVERAGE(B2:B17),3)</f>
        <v>1241.6099999999999</v>
      </c>
      <c r="H4" s="2">
        <f>ROUND(AVERAGE(C2:C17),3)</f>
        <v>6.4000000000000001E-2</v>
      </c>
      <c r="I4" s="2">
        <f>ROUND(AVERAGE(D2:D17),3)</f>
        <v>3.2120000000000002</v>
      </c>
    </row>
    <row r="5" spans="1:9" x14ac:dyDescent="0.25">
      <c r="A5" s="2">
        <v>3.19</v>
      </c>
      <c r="B5" s="2">
        <v>1086.777</v>
      </c>
      <c r="C5" s="2">
        <v>7.0000000000000007E-2</v>
      </c>
      <c r="D5" s="2">
        <v>2.9350000000000001</v>
      </c>
      <c r="F5" s="2" t="s">
        <v>5</v>
      </c>
      <c r="G5" s="2">
        <f>ROUND(_xlfn.STDEV.S(B2:B17),3)</f>
        <v>231.08099999999999</v>
      </c>
      <c r="H5" s="2">
        <f>ROUND(_xlfn.STDEV.S(C2:C17),3)</f>
        <v>2.4E-2</v>
      </c>
      <c r="I5" s="2">
        <f>ROUND(_xlfn.STDEV.S(D2:D17),3)</f>
        <v>0.28399999999999997</v>
      </c>
    </row>
    <row r="6" spans="1:9" x14ac:dyDescent="0.25">
      <c r="A6" s="2">
        <v>3.48</v>
      </c>
      <c r="B6" s="2">
        <v>1090.403</v>
      </c>
      <c r="C6" s="2">
        <v>4.8000000000000001E-2</v>
      </c>
      <c r="D6" s="2">
        <v>3.1909999999999998</v>
      </c>
    </row>
    <row r="7" spans="1:9" x14ac:dyDescent="0.25">
      <c r="A7" s="2">
        <v>3.55</v>
      </c>
      <c r="B7" s="2">
        <v>1163.364</v>
      </c>
      <c r="C7" s="2">
        <v>3.9E-2</v>
      </c>
      <c r="D7" s="2">
        <v>3.0510000000000002</v>
      </c>
    </row>
    <row r="8" spans="1:9" x14ac:dyDescent="0.25">
      <c r="A8" s="2">
        <v>3.93</v>
      </c>
      <c r="B8" s="2">
        <v>1140.212</v>
      </c>
      <c r="C8" s="2">
        <v>6.9000000000000006E-2</v>
      </c>
      <c r="D8" s="2">
        <v>3.4470000000000001</v>
      </c>
    </row>
    <row r="9" spans="1:9" x14ac:dyDescent="0.25">
      <c r="A9" s="2">
        <v>3.96</v>
      </c>
      <c r="B9" s="2">
        <v>1224.623</v>
      </c>
      <c r="C9" s="2">
        <v>4.1000000000000002E-2</v>
      </c>
      <c r="D9" s="2">
        <v>3.234</v>
      </c>
    </row>
    <row r="10" spans="1:9" x14ac:dyDescent="0.25">
      <c r="A10" s="2">
        <v>4.0199999999999996</v>
      </c>
      <c r="B10" s="2">
        <v>1247.7809999999999</v>
      </c>
      <c r="C10" s="2">
        <v>6.5000000000000002E-2</v>
      </c>
      <c r="D10" s="2">
        <v>3.222</v>
      </c>
    </row>
    <row r="11" spans="1:9" x14ac:dyDescent="0.25">
      <c r="A11" s="2">
        <v>4.0999999999999996</v>
      </c>
      <c r="B11" s="2">
        <v>1347.1030000000001</v>
      </c>
      <c r="C11" s="2">
        <v>0.106</v>
      </c>
      <c r="D11" s="2">
        <v>3.044</v>
      </c>
    </row>
    <row r="12" spans="1:9" x14ac:dyDescent="0.25">
      <c r="A12" s="2">
        <v>4.3499999999999996</v>
      </c>
      <c r="B12" s="2">
        <v>1230.5419999999999</v>
      </c>
      <c r="C12" s="2">
        <v>4.1000000000000002E-2</v>
      </c>
      <c r="D12" s="2">
        <v>3.5350000000000001</v>
      </c>
    </row>
    <row r="13" spans="1:9" x14ac:dyDescent="0.25">
      <c r="A13" s="2">
        <v>4.49</v>
      </c>
      <c r="B13" s="2">
        <v>1274.597</v>
      </c>
      <c r="C13" s="2">
        <v>6.8000000000000005E-2</v>
      </c>
      <c r="D13" s="2">
        <v>3.5230000000000001</v>
      </c>
    </row>
    <row r="14" spans="1:9" x14ac:dyDescent="0.25">
      <c r="A14" s="2">
        <v>4.91</v>
      </c>
      <c r="B14" s="2">
        <v>1373.635</v>
      </c>
      <c r="C14" s="2">
        <v>5.8999999999999997E-2</v>
      </c>
      <c r="D14" s="2">
        <v>3.5739999999999998</v>
      </c>
    </row>
    <row r="15" spans="1:9" x14ac:dyDescent="0.25">
      <c r="A15" s="2">
        <v>4.97</v>
      </c>
      <c r="B15" s="2">
        <v>1451.954</v>
      </c>
      <c r="C15" s="2">
        <v>0.105</v>
      </c>
      <c r="D15" s="2">
        <v>3.423</v>
      </c>
    </row>
    <row r="16" spans="1:9" x14ac:dyDescent="0.25">
      <c r="A16" s="2">
        <v>5.45</v>
      </c>
      <c r="B16" s="2">
        <v>1612.1859999999999</v>
      </c>
      <c r="C16" s="2">
        <v>0.09</v>
      </c>
      <c r="D16" s="2">
        <v>3.3809999999999998</v>
      </c>
    </row>
    <row r="17" spans="1:4" x14ac:dyDescent="0.25">
      <c r="A17" s="2">
        <v>5.88</v>
      </c>
      <c r="B17" s="2">
        <v>1764.2449999999999</v>
      </c>
      <c r="C17" s="2">
        <v>8.1000000000000003E-2</v>
      </c>
      <c r="D17" s="2">
        <v>3.3330000000000002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Niraula, Roshit</cp:lastModifiedBy>
  <dcterms:created xsi:type="dcterms:W3CDTF">2025-11-26T21:50:55Z</dcterms:created>
  <dcterms:modified xsi:type="dcterms:W3CDTF">2025-11-26T22:08:17Z</dcterms:modified>
</cp:coreProperties>
</file>